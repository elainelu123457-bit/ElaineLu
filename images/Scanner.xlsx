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bbca-my.sharepoint.com/personal/elainelu_webb_org/Documents/"/>
    </mc:Choice>
  </mc:AlternateContent>
  <xr:revisionPtr revIDLastSave="35" documentId="8_{623A6A3F-0E57-C64A-8198-81A0AA7EA210}" xr6:coauthVersionLast="47" xr6:coauthVersionMax="47" xr10:uidLastSave="{AC3819EB-509D-204A-8AA0-272E29EE1DBA}"/>
  <bookViews>
    <workbookView xWindow="0" yWindow="660" windowWidth="23860" windowHeight="17440" xr2:uid="{6967BD3F-4CC6-8B4A-AE62-71CF79D96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  <c r="E2" i="1" s="1"/>
  <c r="A3" i="1"/>
  <c r="A4" i="1" s="1"/>
  <c r="B4" i="1" l="1"/>
  <c r="A5" i="1"/>
  <c r="B3" i="1"/>
  <c r="D2" i="1"/>
  <c r="E3" i="1" l="1"/>
  <c r="D3" i="1"/>
  <c r="E4" i="1"/>
  <c r="D4" i="1"/>
  <c r="A6" i="1"/>
  <c r="B5" i="1"/>
  <c r="E5" i="1" l="1"/>
  <c r="D5" i="1"/>
  <c r="A7" i="1"/>
  <c r="B6" i="1"/>
  <c r="D6" i="1" l="1"/>
  <c r="E6" i="1"/>
  <c r="A8" i="1"/>
  <c r="B7" i="1"/>
  <c r="D7" i="1" l="1"/>
  <c r="E7" i="1"/>
  <c r="A9" i="1"/>
  <c r="B8" i="1"/>
  <c r="D8" i="1" l="1"/>
  <c r="E8" i="1"/>
  <c r="A10" i="1"/>
  <c r="B9" i="1"/>
  <c r="D9" i="1" l="1"/>
  <c r="E9" i="1"/>
  <c r="A11" i="1"/>
  <c r="B10" i="1"/>
  <c r="D10" i="1" l="1"/>
  <c r="E10" i="1"/>
  <c r="A12" i="1"/>
  <c r="B11" i="1"/>
  <c r="E11" i="1" l="1"/>
  <c r="D11" i="1"/>
  <c r="A13" i="1"/>
  <c r="B12" i="1"/>
  <c r="E12" i="1" l="1"/>
  <c r="D12" i="1"/>
  <c r="A14" i="1"/>
  <c r="B13" i="1"/>
  <c r="E13" i="1" l="1"/>
  <c r="D13" i="1"/>
  <c r="A15" i="1"/>
  <c r="B14" i="1"/>
  <c r="D14" i="1" l="1"/>
  <c r="E14" i="1"/>
  <c r="A16" i="1"/>
  <c r="B15" i="1"/>
  <c r="D15" i="1" l="1"/>
  <c r="E15" i="1"/>
  <c r="A17" i="1"/>
  <c r="B16" i="1"/>
  <c r="D16" i="1" l="1"/>
  <c r="E16" i="1"/>
  <c r="A18" i="1"/>
  <c r="B17" i="1"/>
  <c r="D17" i="1" l="1"/>
  <c r="E17" i="1"/>
  <c r="A19" i="1"/>
  <c r="B18" i="1"/>
  <c r="E18" i="1" l="1"/>
  <c r="D18" i="1"/>
  <c r="A20" i="1"/>
  <c r="B20" i="1" s="1"/>
  <c r="B19" i="1"/>
  <c r="E19" i="1" l="1"/>
  <c r="D19" i="1"/>
  <c r="E20" i="1"/>
  <c r="D20" i="1"/>
</calcChain>
</file>

<file path=xl/sharedStrings.xml><?xml version="1.0" encoding="utf-8"?>
<sst xmlns="http://schemas.openxmlformats.org/spreadsheetml/2006/main" count="5" uniqueCount="5">
  <si>
    <t>Angle (°)</t>
  </si>
  <si>
    <t>Distance (cm)</t>
  </si>
  <si>
    <t>Steps</t>
  </si>
  <si>
    <t>X (cm)</t>
  </si>
  <si>
    <t>Y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</si>
</sst>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2" fontId="0" fillId="2" borderId="1" xfId="0" applyNumberFormat="1" applyFill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CN" b="0"/>
              <a:t>2D Ultrasonic Scan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Y (cm)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Sheet1!$D$2:$D$20</c:f>
              <c:numCache>
                <c:formatCode>General</c:formatCode>
                <c:ptCount val="19"/>
                <c:pt idx="0">
                  <c:v>28.85</c:v>
                </c:pt>
                <c:pt idx="1">
                  <c:v>25.026779623863259</c:v>
                </c:pt>
                <c:pt idx="2">
                  <c:v>20.810618554607601</c:v>
                </c:pt>
                <c:pt idx="3">
                  <c:v>16.275259510274417</c:v>
                </c:pt>
                <c:pt idx="4">
                  <c:v>12.529656980533259</c:v>
                </c:pt>
                <c:pt idx="5">
                  <c:v>10.330153966124985</c:v>
                </c:pt>
                <c:pt idx="6">
                  <c:v>8.445427566582719</c:v>
                </c:pt>
                <c:pt idx="7">
                  <c:v>6.8227011094387597</c:v>
                </c:pt>
                <c:pt idx="8">
                  <c:v>4.4387598805522313</c:v>
                </c:pt>
                <c:pt idx="9">
                  <c:v>0.71114547608630962</c:v>
                </c:pt>
                <c:pt idx="10">
                  <c:v>-4.6132977515593705</c:v>
                </c:pt>
                <c:pt idx="11">
                  <c:v>-9.1707565989822921</c:v>
                </c:pt>
                <c:pt idx="12">
                  <c:v>-11.787509709710569</c:v>
                </c:pt>
                <c:pt idx="13">
                  <c:v>-13.006461262673561</c:v>
                </c:pt>
                <c:pt idx="14">
                  <c:v>-13.530529476521458</c:v>
                </c:pt>
                <c:pt idx="15">
                  <c:v>-14.423948979238958</c:v>
                </c:pt>
                <c:pt idx="16">
                  <c:v>-18.087858290261099</c:v>
                </c:pt>
                <c:pt idx="17">
                  <c:v>-24.181831454340774</c:v>
                </c:pt>
                <c:pt idx="18">
                  <c:v>-30.159014659468468</c:v>
                </c:pt>
              </c:numCache>
            </c:numRef>
          </c:xVal>
          <c:yVal>
            <c:numRef>
              <c:f>Sheet1!$E$2:$E$20</c:f>
              <c:numCache>
                <c:formatCode>General</c:formatCode>
                <c:ptCount val="19"/>
                <c:pt idx="0">
                  <c:v>0</c:v>
                </c:pt>
                <c:pt idx="1">
                  <c:v>4.3382371602510208</c:v>
                </c:pt>
                <c:pt idx="2">
                  <c:v>7.4382898151807684</c:v>
                </c:pt>
                <c:pt idx="3">
                  <c:v>9.2090134039006699</c:v>
                </c:pt>
                <c:pt idx="4">
                  <c:v>10.268772855126077</c:v>
                </c:pt>
                <c:pt idx="5">
                  <c:v>11.955246506707933</c:v>
                </c:pt>
                <c:pt idx="6">
                  <c:v>14.058262809380278</c:v>
                </c:pt>
                <c:pt idx="7">
                  <c:v>17.625570900576896</c:v>
                </c:pt>
                <c:pt idx="8">
                  <c:v>22.15981522311953</c:v>
                </c:pt>
                <c:pt idx="9">
                  <c:v>27.290736012644327</c:v>
                </c:pt>
                <c:pt idx="10">
                  <c:v>31.463589811962926</c:v>
                </c:pt>
                <c:pt idx="11">
                  <c:v>27.933084745552588</c:v>
                </c:pt>
                <c:pt idx="12">
                  <c:v>22.159977771728002</c:v>
                </c:pt>
                <c:pt idx="13">
                  <c:v>16.741325079651613</c:v>
                </c:pt>
                <c:pt idx="14">
                  <c:v>12.321313732106004</c:v>
                </c:pt>
                <c:pt idx="15">
                  <c:v>9.1847534449385986</c:v>
                </c:pt>
                <c:pt idx="16">
                  <c:v>7.5491312395157708</c:v>
                </c:pt>
                <c:pt idx="17">
                  <c:v>5.502638232144208</c:v>
                </c:pt>
                <c:pt idx="18">
                  <c:v>1.5728428942415003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97-FA46-8CE1-9B0B29FB4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62623"/>
        <c:axId val="157968447"/>
      </c:scatterChart>
      <c:valAx>
        <c:axId val="157962623"/>
        <c:scaling>
          <c:orientation val="minMax"/>
          <c:min val="-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Position</a:t>
                </a:r>
                <a:r>
                  <a:rPr lang="en-US" baseline="0"/>
                  <a:t> (cm)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57968447"/>
        <c:crosses val="autoZero"/>
        <c:crossBetween val="midCat"/>
        <c:majorUnit val="5"/>
      </c:valAx>
      <c:valAx>
        <c:axId val="15796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Y-Position</a:t>
                </a:r>
                <a:r>
                  <a:rPr lang="en-US" baseline="0"/>
                  <a:t> (cm)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57962623"/>
        <c:crossesAt val="-3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13322</xdr:colOff>
      <xdr:row>21</xdr:row>
      <xdr:rowOff>11407</xdr:rowOff>
    </xdr:from>
    <xdr:to>
      <xdr:col>5</xdr:col>
      <xdr:colOff>656896</xdr:colOff>
      <xdr:row>39</xdr:row>
      <xdr:rowOff>197068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B6B9CF-1795-55F0-6A0C-8E4A3C4C1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1645-3762-4A46-89D4-1FFCD80BC749}">
  <dimension ref="A1:E20"/>
  <sheetViews>
    <sheetView tabSelected="1" topLeftCell="A19" zoomScale="116" zoomScaleNormal="118" workbookViewId="0">
      <selection activeCell="H40" sqref="H40"/>
    </sheetView>
  </sheetViews>
  <sheetFormatPr baseColWidth="10" defaultRowHeight="16" x14ac:dyDescent="0.2"/>
  <cols>
    <col min="1" max="1" width="14.5" customWidth="1"/>
    <col min="2" max="2" width="14.83203125" customWidth="1"/>
    <col min="3" max="3" width="15.6640625" customWidth="1"/>
  </cols>
  <sheetData>
    <row r="1" spans="1:5" x14ac:dyDescent="0.2">
      <c r="A1" s="3" t="s">
        <v>2</v>
      </c>
      <c r="B1" s="3" t="s">
        <v>0</v>
      </c>
      <c r="C1" s="3" t="s">
        <v>1</v>
      </c>
      <c r="D1" s="3" t="s">
        <v>3</v>
      </c>
      <c r="E1" s="3" t="s">
        <v>4</v>
      </c>
    </row>
    <row r="2" spans="1:5" x14ac:dyDescent="0.2">
      <c r="A2" s="1">
        <v>0</v>
      </c>
      <c r="B2" s="2">
        <f>(A2/1025*360)</f>
        <v>0</v>
      </c>
      <c r="C2" s="1">
        <v>28.85</v>
      </c>
      <c r="D2" s="1">
        <f>C2*COS(RADIANS(B2))</f>
        <v>28.85</v>
      </c>
      <c r="E2" s="1">
        <f>C2*SIN(RADIANS(B2))</f>
        <v>0</v>
      </c>
    </row>
    <row r="3" spans="1:5" x14ac:dyDescent="0.2">
      <c r="A3" s="1">
        <f>A2+28</f>
        <v>28</v>
      </c>
      <c r="B3" s="2">
        <f t="shared" ref="B3:B20" si="0">(A3/1025*360)</f>
        <v>9.8341463414634145</v>
      </c>
      <c r="C3" s="1">
        <v>25.4</v>
      </c>
      <c r="D3" s="1">
        <f t="shared" ref="D3:D20" si="1">C3*COS(RADIANS(B3))</f>
        <v>25.026779623863259</v>
      </c>
      <c r="E3" s="1">
        <f t="shared" ref="E3:E20" si="2">C3*SIN(RADIANS(B3))</f>
        <v>4.3382371602510208</v>
      </c>
    </row>
    <row r="4" spans="1:5" x14ac:dyDescent="0.2">
      <c r="A4" s="1">
        <f t="shared" ref="A4:A20" si="3">A3+28</f>
        <v>56</v>
      </c>
      <c r="B4" s="2">
        <f t="shared" si="0"/>
        <v>19.668292682926829</v>
      </c>
      <c r="C4" s="1">
        <v>22.1</v>
      </c>
      <c r="D4" s="1">
        <f t="shared" si="1"/>
        <v>20.810618554607601</v>
      </c>
      <c r="E4" s="1">
        <f t="shared" si="2"/>
        <v>7.4382898151807684</v>
      </c>
    </row>
    <row r="5" spans="1:5" x14ac:dyDescent="0.2">
      <c r="A5" s="1">
        <f t="shared" si="3"/>
        <v>84</v>
      </c>
      <c r="B5" s="2">
        <f t="shared" si="0"/>
        <v>29.502439024390245</v>
      </c>
      <c r="C5" s="1">
        <v>18.7</v>
      </c>
      <c r="D5" s="1">
        <f t="shared" si="1"/>
        <v>16.275259510274417</v>
      </c>
      <c r="E5" s="1">
        <f t="shared" si="2"/>
        <v>9.2090134039006699</v>
      </c>
    </row>
    <row r="6" spans="1:5" x14ac:dyDescent="0.2">
      <c r="A6" s="1">
        <f t="shared" si="3"/>
        <v>112</v>
      </c>
      <c r="B6" s="2">
        <f t="shared" si="0"/>
        <v>39.336585365853658</v>
      </c>
      <c r="C6" s="1">
        <v>16.2</v>
      </c>
      <c r="D6" s="1">
        <f t="shared" si="1"/>
        <v>12.529656980533259</v>
      </c>
      <c r="E6" s="1">
        <f t="shared" si="2"/>
        <v>10.268772855126077</v>
      </c>
    </row>
    <row r="7" spans="1:5" x14ac:dyDescent="0.2">
      <c r="A7" s="1">
        <f t="shared" si="3"/>
        <v>140</v>
      </c>
      <c r="B7" s="2">
        <f t="shared" si="0"/>
        <v>49.170731707317074</v>
      </c>
      <c r="C7" s="1">
        <v>15.8</v>
      </c>
      <c r="D7" s="1">
        <f t="shared" si="1"/>
        <v>10.330153966124985</v>
      </c>
      <c r="E7" s="1">
        <f t="shared" si="2"/>
        <v>11.955246506707933</v>
      </c>
    </row>
    <row r="8" spans="1:5" x14ac:dyDescent="0.2">
      <c r="A8" s="1">
        <f t="shared" si="3"/>
        <v>168</v>
      </c>
      <c r="B8" s="2">
        <f t="shared" si="0"/>
        <v>59.00487804878049</v>
      </c>
      <c r="C8" s="1">
        <v>16.399999999999999</v>
      </c>
      <c r="D8" s="1">
        <f t="shared" si="1"/>
        <v>8.445427566582719</v>
      </c>
      <c r="E8" s="1">
        <f t="shared" si="2"/>
        <v>14.058262809380278</v>
      </c>
    </row>
    <row r="9" spans="1:5" x14ac:dyDescent="0.2">
      <c r="A9" s="1">
        <f t="shared" si="3"/>
        <v>196</v>
      </c>
      <c r="B9" s="2">
        <f t="shared" si="0"/>
        <v>68.839024390243907</v>
      </c>
      <c r="C9" s="1">
        <v>18.899999999999999</v>
      </c>
      <c r="D9" s="1">
        <f t="shared" si="1"/>
        <v>6.8227011094387597</v>
      </c>
      <c r="E9" s="1">
        <f t="shared" si="2"/>
        <v>17.625570900576896</v>
      </c>
    </row>
    <row r="10" spans="1:5" x14ac:dyDescent="0.2">
      <c r="A10" s="1">
        <f t="shared" si="3"/>
        <v>224</v>
      </c>
      <c r="B10" s="2">
        <f t="shared" si="0"/>
        <v>78.673170731707316</v>
      </c>
      <c r="C10" s="1">
        <v>22.6</v>
      </c>
      <c r="D10" s="1">
        <f t="shared" si="1"/>
        <v>4.4387598805522313</v>
      </c>
      <c r="E10" s="1">
        <f t="shared" si="2"/>
        <v>22.15981522311953</v>
      </c>
    </row>
    <row r="11" spans="1:5" x14ac:dyDescent="0.2">
      <c r="A11" s="1">
        <f t="shared" si="3"/>
        <v>252</v>
      </c>
      <c r="B11" s="2">
        <f t="shared" si="0"/>
        <v>88.507317073170725</v>
      </c>
      <c r="C11" s="1">
        <v>27.3</v>
      </c>
      <c r="D11" s="1">
        <f t="shared" si="1"/>
        <v>0.71114547608630962</v>
      </c>
      <c r="E11" s="1">
        <f t="shared" si="2"/>
        <v>27.290736012644327</v>
      </c>
    </row>
    <row r="12" spans="1:5" x14ac:dyDescent="0.2">
      <c r="A12" s="1">
        <f t="shared" si="3"/>
        <v>280</v>
      </c>
      <c r="B12" s="2">
        <f t="shared" si="0"/>
        <v>98.341463414634148</v>
      </c>
      <c r="C12" s="1">
        <v>31.8</v>
      </c>
      <c r="D12" s="1">
        <f t="shared" si="1"/>
        <v>-4.6132977515593705</v>
      </c>
      <c r="E12" s="1">
        <f t="shared" si="2"/>
        <v>31.463589811962926</v>
      </c>
    </row>
    <row r="13" spans="1:5" x14ac:dyDescent="0.2">
      <c r="A13" s="1">
        <f t="shared" si="3"/>
        <v>308</v>
      </c>
      <c r="B13" s="2">
        <f t="shared" si="0"/>
        <v>108.17560975609756</v>
      </c>
      <c r="C13" s="1">
        <v>29.4</v>
      </c>
      <c r="D13" s="1">
        <f t="shared" si="1"/>
        <v>-9.1707565989822921</v>
      </c>
      <c r="E13" s="1">
        <f t="shared" si="2"/>
        <v>27.933084745552588</v>
      </c>
    </row>
    <row r="14" spans="1:5" x14ac:dyDescent="0.2">
      <c r="A14" s="1">
        <f t="shared" si="3"/>
        <v>336</v>
      </c>
      <c r="B14" s="2">
        <f t="shared" si="0"/>
        <v>118.00975609756098</v>
      </c>
      <c r="C14" s="1">
        <v>25.1</v>
      </c>
      <c r="D14" s="1">
        <f t="shared" si="1"/>
        <v>-11.787509709710569</v>
      </c>
      <c r="E14" s="1">
        <f t="shared" si="2"/>
        <v>22.159977771728002</v>
      </c>
    </row>
    <row r="15" spans="1:5" x14ac:dyDescent="0.2">
      <c r="A15" s="1">
        <f t="shared" si="3"/>
        <v>364</v>
      </c>
      <c r="B15" s="2">
        <f t="shared" si="0"/>
        <v>127.84390243902439</v>
      </c>
      <c r="C15" s="1">
        <v>21.2</v>
      </c>
      <c r="D15" s="1">
        <f t="shared" si="1"/>
        <v>-13.006461262673561</v>
      </c>
      <c r="E15" s="1">
        <f t="shared" si="2"/>
        <v>16.741325079651613</v>
      </c>
    </row>
    <row r="16" spans="1:5" x14ac:dyDescent="0.2">
      <c r="A16" s="1">
        <f t="shared" si="3"/>
        <v>392</v>
      </c>
      <c r="B16" s="2">
        <f t="shared" si="0"/>
        <v>137.67804878048781</v>
      </c>
      <c r="C16" s="1">
        <v>18.3</v>
      </c>
      <c r="D16" s="1">
        <f t="shared" si="1"/>
        <v>-13.530529476521458</v>
      </c>
      <c r="E16" s="1">
        <f t="shared" si="2"/>
        <v>12.321313732106004</v>
      </c>
    </row>
    <row r="17" spans="1:5" x14ac:dyDescent="0.2">
      <c r="A17" s="1">
        <f t="shared" si="3"/>
        <v>420</v>
      </c>
      <c r="B17" s="2">
        <f t="shared" si="0"/>
        <v>147.51219512195121</v>
      </c>
      <c r="C17" s="1">
        <v>17.100000000000001</v>
      </c>
      <c r="D17" s="1">
        <f t="shared" si="1"/>
        <v>-14.423948979238958</v>
      </c>
      <c r="E17" s="1">
        <f t="shared" si="2"/>
        <v>9.1847534449385986</v>
      </c>
    </row>
    <row r="18" spans="1:5" x14ac:dyDescent="0.2">
      <c r="A18" s="1">
        <f t="shared" si="3"/>
        <v>448</v>
      </c>
      <c r="B18" s="2">
        <f t="shared" si="0"/>
        <v>157.34634146341463</v>
      </c>
      <c r="C18" s="1">
        <v>19.600000000000001</v>
      </c>
      <c r="D18" s="1">
        <f t="shared" si="1"/>
        <v>-18.087858290261099</v>
      </c>
      <c r="E18" s="1">
        <f t="shared" si="2"/>
        <v>7.5491312395157708</v>
      </c>
    </row>
    <row r="19" spans="1:5" x14ac:dyDescent="0.2">
      <c r="A19" s="1">
        <f t="shared" si="3"/>
        <v>476</v>
      </c>
      <c r="B19" s="2">
        <f t="shared" si="0"/>
        <v>167.18048780487806</v>
      </c>
      <c r="C19" s="1">
        <v>24.8</v>
      </c>
      <c r="D19" s="1">
        <f t="shared" si="1"/>
        <v>-24.181831454340774</v>
      </c>
      <c r="E19" s="1">
        <f t="shared" si="2"/>
        <v>5.502638232144208</v>
      </c>
    </row>
    <row r="20" spans="1:5" x14ac:dyDescent="0.2">
      <c r="A20" s="1">
        <f t="shared" si="3"/>
        <v>504</v>
      </c>
      <c r="B20" s="2">
        <f t="shared" si="0"/>
        <v>177.01463414634145</v>
      </c>
      <c r="C20" s="1">
        <v>30.2</v>
      </c>
      <c r="D20" s="1">
        <f t="shared" si="1"/>
        <v>-30.159014659468468</v>
      </c>
      <c r="E20" s="1">
        <f t="shared" si="2"/>
        <v>1.5728428942415003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Elaine Lu</dc:creator>
  <cp:lastModifiedBy>Elaine Lu</cp:lastModifiedBy>
  <cp:lastPrinted>2026-10-01T16:36:01Z</cp:lastPrinted>
  <dcterms:created xsi:type="dcterms:W3CDTF">2026-10-01T13:28:51Z</dcterms:created>
  <dcterms:modified xsi:type="dcterms:W3CDTF">2026-10-01T16:37:24Z</dcterms:modified>
</cp:coreProperties>
</file>